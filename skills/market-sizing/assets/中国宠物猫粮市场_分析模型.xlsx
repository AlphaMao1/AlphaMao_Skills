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心假设" sheetId="1" state="visible" r:id="rId1"/>
    <sheet xmlns:r="http://schemas.openxmlformats.org/officeDocument/2006/relationships" name="TAM_SAM_SOM" sheetId="2" state="visible" r:id="rId2"/>
    <sheet xmlns:r="http://schemas.openxmlformats.org/officeDocument/2006/relationships" name="Monte_Carlo" sheetId="3" state="visible" r:id="rId3"/>
    <sheet xmlns:r="http://schemas.openxmlformats.org/officeDocument/2006/relationships" name="竞争格局" sheetId="4" state="visible" r:id="rId4"/>
    <sheet xmlns:r="http://schemas.openxmlformats.org/officeDocument/2006/relationships" name="增长预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666666"/>
    </font>
    <font>
      <b val="1"/>
      <color rgb="00FFFFFF"/>
      <sz val="12"/>
    </font>
    <font>
      <b val="1"/>
      <color rgb="001F4E79"/>
      <sz val="14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AF8"/>
        <bgColor rgb="00D6EA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3" fontId="0" fillId="3" borderId="1" pivotButton="0" quotePrefix="0" xfId="0"/>
    <xf numFmtId="4" fontId="0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市场规模预测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'增长预测'!B3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'增长预测'!$A$4:$A$9</f>
            </numRef>
          </cat>
          <val>
            <numRef>
              <f>'增长预测'!$B$4:$B$9</f>
            </numRef>
          </val>
        </ser>
        <ser>
          <idx val="1"/>
          <order val="1"/>
          <tx>
            <strRef>
              <f>'增长预测'!C3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'增长预测'!$A$4:$A$9</f>
            </numRef>
          </cat>
          <val>
            <numRef>
              <f>'增长预测'!$C$4:$C$9</f>
            </numRef>
          </val>
        </ser>
        <ser>
          <idx val="2"/>
          <order val="2"/>
          <tx>
            <strRef>
              <f>'增长预测'!D3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'增长预测'!$A$4:$A$9</f>
            </numRef>
          </cat>
          <val>
            <numRef>
              <f>'增长预测'!$D$4:$D$9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年份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亿元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25" customWidth="1" min="4" max="4"/>
    <col width="10" customWidth="1" min="5" max="5"/>
  </cols>
  <sheetData>
    <row r="1">
      <c r="A1" s="1" t="inlineStr">
        <is>
          <t>中国宠物猫粮市场规模分析模型</t>
        </is>
      </c>
    </row>
    <row r="2">
      <c r="A2" s="2" t="inlineStr">
        <is>
          <t>分析日期: 2026-02-09</t>
        </is>
      </c>
    </row>
    <row r="4">
      <c r="A4" s="3" t="inlineStr">
        <is>
          <t>假设项</t>
        </is>
      </c>
      <c r="B4" s="3" t="inlineStr">
        <is>
          <t>数值</t>
        </is>
      </c>
      <c r="C4" s="3" t="inlineStr">
        <is>
          <t>单位</t>
        </is>
      </c>
      <c r="D4" s="3" t="inlineStr">
        <is>
          <t>来源</t>
        </is>
      </c>
      <c r="E4" s="3" t="inlineStr">
        <is>
          <t>置信度</t>
        </is>
      </c>
    </row>
    <row r="5">
      <c r="A5" s="4" t="inlineStr">
        <is>
          <t>宠物猫数量</t>
        </is>
      </c>
      <c r="B5" s="5" t="n">
        <v>7153</v>
      </c>
      <c r="C5" s="4" t="inlineStr">
        <is>
          <t>万只</t>
        </is>
      </c>
      <c r="D5" s="4" t="inlineStr">
        <is>
          <t>派读宠物白皮书2024</t>
        </is>
      </c>
      <c r="E5" s="4" t="inlineStr">
        <is>
          <t>高</t>
        </is>
      </c>
    </row>
    <row r="6">
      <c r="A6" s="4" t="inlineStr">
        <is>
          <t>年均猫粮消费</t>
        </is>
      </c>
      <c r="B6" s="5" t="n">
        <v>560</v>
      </c>
      <c r="C6" s="4" t="inlineStr">
        <is>
          <t>元/只</t>
        </is>
      </c>
      <c r="D6" s="4" t="inlineStr">
        <is>
          <t>单猫消费2020元×28%</t>
        </is>
      </c>
      <c r="E6" s="4" t="inlineStr">
        <is>
          <t>中</t>
        </is>
      </c>
    </row>
    <row r="7">
      <c r="A7" s="4" t="inlineStr">
        <is>
          <t>商品粮渗透率</t>
        </is>
      </c>
      <c r="B7" s="6" t="n">
        <v>0.8</v>
      </c>
      <c r="C7" s="4" t="inlineStr">
        <is>
          <t>%</t>
        </is>
      </c>
      <c r="D7" s="4" t="inlineStr">
        <is>
          <t>行业估算</t>
        </is>
      </c>
      <c r="E7" s="4" t="inlineStr">
        <is>
          <t>中</t>
        </is>
      </c>
    </row>
    <row r="8">
      <c r="A8" s="4" t="inlineStr">
        <is>
          <t>目标市占率</t>
        </is>
      </c>
      <c r="B8" s="6" t="n">
        <v>0.15</v>
      </c>
      <c r="C8" s="4" t="inlineStr">
        <is>
          <t>%</t>
        </is>
      </c>
      <c r="D8" s="4" t="inlineStr">
        <is>
          <t>竞争分析</t>
        </is>
      </c>
      <c r="E8" s="4" t="inlineStr">
        <is>
          <t>中</t>
        </is>
      </c>
    </row>
    <row r="9">
      <c r="A9" s="4" t="inlineStr">
        <is>
          <t>CAGR</t>
        </is>
      </c>
      <c r="B9" s="6" t="n">
        <v>0.18</v>
      </c>
      <c r="C9" s="4" t="inlineStr">
        <is>
          <t>%</t>
        </is>
      </c>
      <c r="D9" s="4" t="inlineStr">
        <is>
          <t>蝉妈妈报告</t>
        </is>
      </c>
      <c r="E9" s="4" t="inlineStr">
        <is>
          <t>中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TAM / SAM / SOM 计算</t>
        </is>
      </c>
    </row>
    <row r="3">
      <c r="A3" s="8" t="inlineStr">
        <is>
          <t>TAM (Total Addressable Market)</t>
        </is>
      </c>
    </row>
    <row r="4">
      <c r="A4" t="inlineStr">
        <is>
          <t>公式</t>
        </is>
      </c>
      <c r="B4">
        <f> 猫数量 × 年消费</f>
        <v/>
      </c>
    </row>
    <row r="5">
      <c r="A5" t="inlineStr">
        <is>
          <t>计算</t>
        </is>
      </c>
      <c r="B5">
        <f>核心假设!B5*核心假设!B6/10000</f>
        <v/>
      </c>
      <c r="C5" t="inlineStr">
        <is>
          <t>亿元</t>
        </is>
      </c>
      <c r="D5">
        <f>ROUND(B5,1)&amp;" 亿元"</f>
        <v/>
      </c>
    </row>
    <row r="7">
      <c r="A7" s="8" t="inlineStr">
        <is>
          <t>SAM (Serviceable Addressable Market)</t>
        </is>
      </c>
    </row>
    <row r="8">
      <c r="A8" t="inlineStr">
        <is>
          <t>公式</t>
        </is>
      </c>
      <c r="B8">
        <f> TAM × 商品粮渗透率</f>
        <v/>
      </c>
    </row>
    <row r="9">
      <c r="A9" t="inlineStr">
        <is>
          <t>计算</t>
        </is>
      </c>
      <c r="B9">
        <f>B5*核心假设!B7</f>
        <v/>
      </c>
      <c r="C9" t="inlineStr">
        <is>
          <t>亿元</t>
        </is>
      </c>
    </row>
    <row r="11">
      <c r="A11" s="8" t="inlineStr">
        <is>
          <t>SOM (Serviceable Obtainable Market)</t>
        </is>
      </c>
    </row>
    <row r="12">
      <c r="A12" t="inlineStr">
        <is>
          <t>公式</t>
        </is>
      </c>
      <c r="B12">
        <f> SAM × 目标市占率</f>
        <v/>
      </c>
    </row>
    <row r="13">
      <c r="A13" t="inlineStr">
        <is>
          <t>计算</t>
        </is>
      </c>
      <c r="B13">
        <f>B9*核心假设!B8</f>
        <v/>
      </c>
      <c r="C13" t="inlineStr">
        <is>
          <t>亿元</t>
        </is>
      </c>
    </row>
    <row r="16">
      <c r="A16" s="9" t="inlineStr">
        <is>
          <t>汇总</t>
        </is>
      </c>
    </row>
    <row r="17">
      <c r="A17" s="10" t="inlineStr">
        <is>
          <t>指标</t>
        </is>
      </c>
      <c r="B17" s="10" t="inlineStr">
        <is>
          <t>数值 (亿元)</t>
        </is>
      </c>
      <c r="C17" s="10" t="inlineStr">
        <is>
          <t>说明</t>
        </is>
      </c>
    </row>
    <row r="18">
      <c r="A18" t="inlineStr">
        <is>
          <t>TAM</t>
        </is>
      </c>
      <c r="B18">
        <f>ROUND(B5,1)</f>
        <v/>
      </c>
      <c r="C18" t="inlineStr">
        <is>
          <t>全部猫粮市场</t>
        </is>
      </c>
    </row>
    <row r="19">
      <c r="A19" t="inlineStr">
        <is>
          <t>SAM</t>
        </is>
      </c>
      <c r="B19">
        <f>ROUND(B9,1)</f>
        <v/>
      </c>
      <c r="C19" t="inlineStr">
        <is>
          <t>商品粮市场</t>
        </is>
      </c>
    </row>
    <row r="20">
      <c r="A20" t="inlineStr">
        <is>
          <t>SOM</t>
        </is>
      </c>
      <c r="B20">
        <f>ROUND(B13,1)</f>
        <v/>
      </c>
      <c r="C20" t="inlineStr">
        <is>
          <t>可获取市场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Monte Carlo 模拟结果 (10,000次)</t>
        </is>
      </c>
    </row>
    <row r="3">
      <c r="A3" s="8" t="inlineStr">
        <is>
          <t>置信区间</t>
        </is>
      </c>
    </row>
    <row r="4">
      <c r="A4" s="10" t="inlineStr">
        <is>
          <t>分位数</t>
        </is>
      </c>
      <c r="B4" s="10" t="inlineStr">
        <is>
          <t>数值 (亿元)</t>
        </is>
      </c>
    </row>
    <row r="5">
      <c r="A5" t="inlineStr">
        <is>
          <t>P5 (悲观)</t>
        </is>
      </c>
      <c r="B5" t="n">
        <v>218.5</v>
      </c>
    </row>
    <row r="6">
      <c r="A6" t="inlineStr">
        <is>
          <t>P10</t>
        </is>
      </c>
      <c r="B6" t="n">
        <v>245.3</v>
      </c>
    </row>
    <row r="7">
      <c r="A7" t="inlineStr">
        <is>
          <t>P25</t>
        </is>
      </c>
      <c r="B7" t="n">
        <v>280.6</v>
      </c>
    </row>
    <row r="8">
      <c r="A8" t="inlineStr">
        <is>
          <t>P50 (中位数)</t>
        </is>
      </c>
      <c r="B8" t="n">
        <v>318.2</v>
      </c>
    </row>
    <row r="9">
      <c r="A9" t="inlineStr">
        <is>
          <t>P75</t>
        </is>
      </c>
      <c r="B9" t="n">
        <v>358.4</v>
      </c>
    </row>
    <row r="10">
      <c r="A10" t="inlineStr">
        <is>
          <t>P90</t>
        </is>
      </c>
      <c r="B10" t="n">
        <v>402.1</v>
      </c>
    </row>
    <row r="11">
      <c r="A11" t="inlineStr">
        <is>
          <t>P95 (乐观)</t>
        </is>
      </c>
      <c r="B11" t="n">
        <v>428.7</v>
      </c>
    </row>
    <row r="14">
      <c r="A14" s="8" t="inlineStr">
        <is>
          <t>敏感性分析 (Tornado)</t>
        </is>
      </c>
    </row>
    <row r="15">
      <c r="A15" s="10" t="inlineStr">
        <is>
          <t>假设</t>
        </is>
      </c>
      <c r="B15" s="10" t="inlineStr">
        <is>
          <t>影响幅度 (%)</t>
        </is>
      </c>
    </row>
    <row r="16">
      <c r="A16" t="inlineStr">
        <is>
          <t>猫粮年消费(元/只)</t>
        </is>
      </c>
      <c r="B16" t="n">
        <v>25.3</v>
      </c>
    </row>
    <row r="17">
      <c r="A17" t="inlineStr">
        <is>
          <t>宠物猫数量(万只)</t>
        </is>
      </c>
      <c r="B17" t="n">
        <v>11.8</v>
      </c>
    </row>
    <row r="18">
      <c r="A18" t="inlineStr">
        <is>
          <t>商品粮渗透率</t>
        </is>
      </c>
      <c r="B18" t="n">
        <v>8.199999999999999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4" max="4"/>
  </cols>
  <sheetData>
    <row r="1">
      <c r="A1" s="7" t="inlineStr">
        <is>
          <t>竞争格局分析</t>
        </is>
      </c>
    </row>
    <row r="3">
      <c r="A3" s="10" t="inlineStr">
        <is>
          <t>品牌</t>
        </is>
      </c>
      <c r="B3" s="10" t="inlineStr">
        <is>
          <t>市占率 (%)</t>
        </is>
      </c>
      <c r="C3" s="10" t="inlineStr">
        <is>
          <t>母公司</t>
        </is>
      </c>
      <c r="D3" s="10" t="inlineStr">
        <is>
          <t>核心优势</t>
        </is>
      </c>
    </row>
    <row r="4">
      <c r="A4" t="inlineStr">
        <is>
          <t>皇家 Royal Canin</t>
        </is>
      </c>
      <c r="B4" t="n">
        <v>5.9</v>
      </c>
      <c r="C4" t="inlineStr">
        <is>
          <t>玛氏</t>
        </is>
      </c>
      <c r="D4" t="inlineStr">
        <is>
          <t>品牌认知度高，精准营养</t>
        </is>
      </c>
    </row>
    <row r="5">
      <c r="A5" t="inlineStr">
        <is>
          <t>麦富迪</t>
        </is>
      </c>
      <c r="B5" t="n">
        <v>4.5</v>
      </c>
      <c r="C5" t="inlineStr">
        <is>
          <t>瑞普</t>
        </is>
      </c>
      <c r="D5" t="inlineStr">
        <is>
          <t>国产头部，性价比</t>
        </is>
      </c>
    </row>
    <row r="6">
      <c r="A6" t="inlineStr">
        <is>
          <t>网易严选</t>
        </is>
      </c>
      <c r="B6" t="n">
        <v>4</v>
      </c>
      <c r="C6" t="inlineStr">
        <is>
          <t>网易</t>
        </is>
      </c>
      <c r="D6" t="inlineStr">
        <is>
          <t>互联网渠道优势</t>
        </is>
      </c>
    </row>
    <row r="7">
      <c r="A7" t="inlineStr">
        <is>
          <t>蓝氏</t>
        </is>
      </c>
      <c r="B7" t="n">
        <v>2.9</v>
      </c>
      <c r="C7" t="inlineStr">
        <is>
          <t>吉家</t>
        </is>
      </c>
      <c r="D7" t="inlineStr">
        <is>
          <t>差异化产品(乳鸽猫粮)</t>
        </is>
      </c>
    </row>
    <row r="8">
      <c r="A8" t="inlineStr">
        <is>
          <t>渴望 Orijen</t>
        </is>
      </c>
      <c r="B8" t="n">
        <v>2.5</v>
      </c>
      <c r="C8" t="inlineStr">
        <is>
          <t>冠军宠物</t>
        </is>
      </c>
      <c r="D8" t="inlineStr">
        <is>
          <t>高端天然粮先行者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市场规模增长预测 (CAGR 18%)</t>
        </is>
      </c>
    </row>
    <row r="3">
      <c r="A3" s="10" t="inlineStr">
        <is>
          <t>年份</t>
        </is>
      </c>
      <c r="B3" s="10" t="inlineStr">
        <is>
          <t>TAM (亿元)</t>
        </is>
      </c>
      <c r="C3" s="10" t="inlineStr">
        <is>
          <t>SAM (亿元)</t>
        </is>
      </c>
      <c r="D3" s="10" t="inlineStr">
        <is>
          <t>SOM (亿元)</t>
        </is>
      </c>
      <c r="E3" s="10" t="inlineStr">
        <is>
          <t>YoY增长</t>
        </is>
      </c>
    </row>
    <row r="4">
      <c r="A4" t="n">
        <v>2024</v>
      </c>
      <c r="B4" t="n">
        <v>400</v>
      </c>
      <c r="C4" t="n">
        <v>320</v>
      </c>
      <c r="D4" t="n">
        <v>48</v>
      </c>
      <c r="E4" t="inlineStr">
        <is>
          <t>-</t>
        </is>
      </c>
    </row>
    <row r="5">
      <c r="A5" t="n">
        <v>2025</v>
      </c>
      <c r="B5" t="n">
        <v>472</v>
      </c>
      <c r="C5" t="n">
        <v>377.6</v>
      </c>
      <c r="D5" t="n">
        <v>56.6</v>
      </c>
      <c r="E5" t="inlineStr">
        <is>
          <t>18%</t>
        </is>
      </c>
    </row>
    <row r="6">
      <c r="A6" t="n">
        <v>2026</v>
      </c>
      <c r="B6" t="n">
        <v>557</v>
      </c>
      <c r="C6" t="n">
        <v>445.6</v>
      </c>
      <c r="D6" t="n">
        <v>66.8</v>
      </c>
      <c r="E6" t="inlineStr">
        <is>
          <t>18%</t>
        </is>
      </c>
    </row>
    <row r="7">
      <c r="A7" t="n">
        <v>2027</v>
      </c>
      <c r="B7" t="n">
        <v>657.2</v>
      </c>
      <c r="C7" t="n">
        <v>525.8</v>
      </c>
      <c r="D7" t="n">
        <v>78.90000000000001</v>
      </c>
      <c r="E7" t="inlineStr">
        <is>
          <t>18%</t>
        </is>
      </c>
    </row>
    <row r="8">
      <c r="A8" t="n">
        <v>2028</v>
      </c>
      <c r="B8" t="n">
        <v>775.5</v>
      </c>
      <c r="C8" t="n">
        <v>620.4</v>
      </c>
      <c r="D8" t="n">
        <v>93.09999999999999</v>
      </c>
      <c r="E8" t="inlineStr">
        <is>
          <t>18%</t>
        </is>
      </c>
    </row>
    <row r="9">
      <c r="A9" t="n">
        <v>2029</v>
      </c>
      <c r="B9" t="n">
        <v>915.1</v>
      </c>
      <c r="C9" t="n">
        <v>732.1</v>
      </c>
      <c r="D9" t="n">
        <v>109.8</v>
      </c>
      <c r="E9" t="inlineStr">
        <is>
          <t>18%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2026-02-09T13:14:32Z</dcterms:created>
  <dcterms:modified xmlns:dcterms="http://purl.org/dc/terms/" xmlns:xsi="http://www.w3.org/2001/XMLSchema-instance" xsi:type="dcterms:W3CDTF">2026-02-09T13:14:32Z</dcterms:modified>
</cp:coreProperties>
</file>
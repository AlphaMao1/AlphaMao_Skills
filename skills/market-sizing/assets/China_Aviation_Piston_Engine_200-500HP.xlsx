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假设" sheetId="1" state="visible" r:id="rId1"/>
    <sheet xmlns:r="http://schemas.openxmlformats.org/officeDocument/2006/relationships" name="TAM计算" sheetId="2" state="visible" r:id="rId2"/>
    <sheet xmlns:r="http://schemas.openxmlformats.org/officeDocument/2006/relationships" name="SAM计算" sheetId="3" state="visible" r:id="rId3"/>
    <sheet xmlns:r="http://schemas.openxmlformats.org/officeDocument/2006/relationships" name="SOM计算" sheetId="4" state="visible" r:id="rId4"/>
    <sheet xmlns:r="http://schemas.openxmlformats.org/officeDocument/2006/relationships" name="敏感性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sz val="11"/>
    </font>
    <font>
      <b val="1"/>
      <color rgb="000000FF"/>
    </font>
    <font>
      <b val="1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3" borderId="1" pivotButton="0" quotePrefix="0" xfId="0"/>
    <xf numFmtId="0" fontId="3" fillId="0" borderId="0" pivotButton="0" quotePrefix="0" xfId="0"/>
    <xf numFmtId="0" fontId="0" fillId="4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30" customWidth="1" min="4" max="4"/>
  </cols>
  <sheetData>
    <row r="1">
      <c r="A1" s="1" t="inlineStr">
        <is>
          <t>市场规模分析 - 核心假设</t>
        </is>
      </c>
    </row>
    <row r="3">
      <c r="A3" s="2" t="inlineStr">
        <is>
          <t>💡 说明: 蓝色单元格为可编辑输入项，修改后其他表格自动更新</t>
        </is>
      </c>
    </row>
    <row r="5">
      <c r="A5" s="3" t="inlineStr">
        <is>
          <t>假设项</t>
        </is>
      </c>
      <c r="B5" s="3" t="inlineStr">
        <is>
          <t>数值</t>
        </is>
      </c>
      <c r="C5" s="3" t="inlineStr">
        <is>
          <t>单位</t>
        </is>
      </c>
      <c r="D5" s="3" t="inlineStr">
        <is>
          <t>来源/备注</t>
        </is>
      </c>
    </row>
    <row r="6">
      <c r="A6" s="4" t="inlineStr">
        <is>
          <t>中国活塞发动机总规模</t>
        </is>
      </c>
      <c r="B6" s="5" t="n">
        <v>25.5</v>
      </c>
      <c r="C6" s="4" t="inlineStr">
        <is>
          <t>亿元</t>
        </is>
      </c>
      <c r="D6" s="4" t="inlineStr">
        <is>
          <t>IndexBox 2024 ($354M)</t>
        </is>
      </c>
    </row>
    <row r="7">
      <c r="A7" s="4" t="inlineStr">
        <is>
          <t>200-500HP 细分占比</t>
        </is>
      </c>
      <c r="B7" s="5" t="n">
        <v>0.45</v>
      </c>
      <c r="C7" s="4" t="inlineStr">
        <is>
          <t>%</t>
        </is>
      </c>
      <c r="D7" s="4" t="inlineStr">
        <is>
          <t>主力机型(SR20/R44)占比推算</t>
        </is>
      </c>
    </row>
    <row r="8">
      <c r="A8" s="4" t="inlineStr">
        <is>
          <t>国产化/区域占比</t>
        </is>
      </c>
      <c r="B8" s="5" t="n">
        <v>1</v>
      </c>
      <c r="C8" s="4" t="inlineStr">
        <is>
          <t>%</t>
        </is>
      </c>
      <c r="D8" s="4" t="inlineStr">
        <is>
          <t>分析中国整体市场</t>
        </is>
      </c>
    </row>
    <row r="9">
      <c r="A9" s="4" t="inlineStr">
        <is>
          <t>潜在替代渗透率</t>
        </is>
      </c>
      <c r="B9" s="5" t="n">
        <v>0.2</v>
      </c>
      <c r="C9" s="4" t="inlineStr">
        <is>
          <t>%</t>
        </is>
      </c>
      <c r="D9" s="4" t="inlineStr">
        <is>
          <t>重油/混合动力替代潜力</t>
        </is>
      </c>
    </row>
    <row r="10">
      <c r="A10" s="4" t="inlineStr">
        <is>
          <t>发动机均价</t>
        </is>
      </c>
      <c r="B10" s="5" t="n">
        <v>40</v>
      </c>
      <c r="C10" s="4" t="inlineStr">
        <is>
          <t>万元</t>
        </is>
      </c>
      <c r="D10" s="4" t="inlineStr">
        <is>
          <t>Lycoming/Continental均价估算</t>
        </is>
      </c>
    </row>
    <row r="11">
      <c r="A11" s="4" t="inlineStr">
        <is>
          <t>目标市占率</t>
        </is>
      </c>
      <c r="B11" s="5" t="n">
        <v>0.15</v>
      </c>
      <c r="C11" s="4" t="inlineStr">
        <is>
          <t>%</t>
        </is>
      </c>
      <c r="D11" s="4" t="inlineStr">
        <is>
          <t>新进入者保守目标</t>
        </is>
      </c>
    </row>
    <row r="12">
      <c r="A12" s="4" t="inlineStr">
        <is>
          <t>预测 CAGR</t>
        </is>
      </c>
      <c r="B12" s="5" t="n">
        <v>0.08</v>
      </c>
      <c r="C12" s="4" t="inlineStr">
        <is>
          <t>%</t>
        </is>
      </c>
      <c r="D12" s="4" t="inlineStr">
        <is>
          <t>低空经济政策拉动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TAM (Total Addressable Market) 总可触达市场</t>
        </is>
      </c>
    </row>
    <row r="3">
      <c r="A3" s="6" t="inlineStr">
        <is>
          <t>方法一: Top-Down</t>
        </is>
      </c>
    </row>
    <row r="4">
      <c r="A4" t="inlineStr">
        <is>
          <t>行业总规模</t>
        </is>
      </c>
      <c r="B4">
        <f>核心假设!B6</f>
        <v/>
      </c>
      <c r="C4" t="inlineStr">
        <is>
          <t>亿元</t>
        </is>
      </c>
    </row>
    <row r="5">
      <c r="A5" t="inlineStr">
        <is>
          <t>TAM (Top-Down)</t>
        </is>
      </c>
      <c r="B5" s="7">
        <f>B4</f>
        <v/>
      </c>
      <c r="C5" t="inlineStr">
        <is>
          <t>亿元</t>
        </is>
      </c>
    </row>
    <row r="7">
      <c r="A7" s="6" t="inlineStr">
        <is>
          <t>方法二: Bottom-Up</t>
        </is>
      </c>
    </row>
    <row r="8">
      <c r="A8" t="inlineStr">
        <is>
          <t>目标客户数量</t>
        </is>
      </c>
      <c r="B8" s="8" t="n">
        <v>800</v>
      </c>
      <c r="C8" t="inlineStr">
        <is>
          <t>台/年</t>
        </is>
      </c>
    </row>
    <row r="9">
      <c r="A9" t="inlineStr">
        <is>
          <t>目标渗透率</t>
        </is>
      </c>
      <c r="B9" t="n">
        <v>1</v>
      </c>
    </row>
    <row r="10">
      <c r="A10" t="inlineStr">
        <is>
          <t>年均客单价</t>
        </is>
      </c>
      <c r="B10">
        <f>核心假设!B10</f>
        <v/>
      </c>
      <c r="C10" t="inlineStr">
        <is>
          <t>万元</t>
        </is>
      </c>
    </row>
    <row r="11">
      <c r="A11" t="inlineStr">
        <is>
          <t>TAM (Bottom-Up)</t>
        </is>
      </c>
      <c r="B11" s="7">
        <f>B8*B9*B10/10000</f>
        <v/>
      </c>
      <c r="C11" t="inlineStr">
        <is>
          <t>亿元</t>
        </is>
      </c>
    </row>
    <row r="13">
      <c r="A13" s="6" t="inlineStr">
        <is>
          <t>TAM 对比</t>
        </is>
      </c>
    </row>
    <row r="14">
      <c r="A14" t="inlineStr">
        <is>
          <t>Top-Down</t>
        </is>
      </c>
      <c r="B14">
        <f>B5</f>
        <v/>
      </c>
    </row>
    <row r="15">
      <c r="A15" t="inlineStr">
        <is>
          <t>Bottom-Up</t>
        </is>
      </c>
      <c r="B15">
        <f>B11</f>
        <v/>
      </c>
    </row>
    <row r="16">
      <c r="A16" t="inlineStr">
        <is>
          <t>平均值</t>
        </is>
      </c>
      <c r="B16" s="7">
        <f>(B14+B15)/2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SAM (Serviceable Addressable Market) 可服务市场</t>
        </is>
      </c>
    </row>
    <row r="3">
      <c r="A3" s="6" t="inlineStr">
        <is>
          <t>计算过程</t>
        </is>
      </c>
    </row>
    <row r="4">
      <c r="A4" t="inlineStr">
        <is>
          <t>TAM</t>
        </is>
      </c>
      <c r="B4">
        <f>TAM计算!B16</f>
        <v/>
      </c>
      <c r="C4" t="inlineStr">
        <is>
          <t>亿元</t>
        </is>
      </c>
    </row>
    <row r="5">
      <c r="A5" t="inlineStr">
        <is>
          <t>× 目标细分占比</t>
        </is>
      </c>
      <c r="B5">
        <f>核心假设!B7</f>
        <v/>
      </c>
    </row>
    <row r="6">
      <c r="A6" t="inlineStr">
        <is>
          <t>× 地域占比</t>
        </is>
      </c>
      <c r="B6">
        <f>核心假设!B8</f>
        <v/>
      </c>
    </row>
    <row r="8">
      <c r="A8" t="inlineStr">
        <is>
          <t>SAM</t>
        </is>
      </c>
      <c r="B8" s="9">
        <f>B4*B5*B6</f>
        <v/>
      </c>
      <c r="C8" t="inlineStr">
        <is>
          <t>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SOM (Serviceable Obtainable Market) 可获取市场</t>
        </is>
      </c>
    </row>
    <row r="3">
      <c r="A3" s="6" t="inlineStr">
        <is>
          <t>计算过程</t>
        </is>
      </c>
    </row>
    <row r="4">
      <c r="A4" t="inlineStr">
        <is>
          <t>SAM</t>
        </is>
      </c>
      <c r="B4">
        <f>SAM计算!B8</f>
        <v/>
      </c>
      <c r="C4" t="inlineStr">
        <is>
          <t>亿元</t>
        </is>
      </c>
    </row>
    <row r="5">
      <c r="A5" t="inlineStr">
        <is>
          <t>× 目标市占率</t>
        </is>
      </c>
      <c r="B5">
        <f>核心假设!B11</f>
        <v/>
      </c>
    </row>
    <row r="7">
      <c r="A7" t="inlineStr">
        <is>
          <t>SOM</t>
        </is>
      </c>
      <c r="B7" s="9">
        <f>B4*B5</f>
        <v/>
      </c>
      <c r="C7" t="inlineStr">
        <is>
          <t>亿元</t>
        </is>
      </c>
    </row>
    <row r="10">
      <c r="A10" s="6" t="inlineStr">
        <is>
          <t>多年预测</t>
        </is>
      </c>
    </row>
    <row r="11">
      <c r="B11" s="6" t="inlineStr">
        <is>
          <t>2024</t>
        </is>
      </c>
      <c r="C11" s="6" t="inlineStr">
        <is>
          <t>2025</t>
        </is>
      </c>
      <c r="D11" s="6" t="inlineStr">
        <is>
          <t>2026</t>
        </is>
      </c>
      <c r="E11" s="6" t="inlineStr">
        <is>
          <t>2027</t>
        </is>
      </c>
      <c r="F11" s="6" t="inlineStr">
        <is>
          <t>2028</t>
        </is>
      </c>
    </row>
    <row r="12">
      <c r="A12" t="inlineStr">
        <is>
          <t>SOM</t>
        </is>
      </c>
      <c r="B12">
        <f>B7</f>
        <v/>
      </c>
      <c r="C12">
        <f>B12*(1+核心假设!$B$12)</f>
        <v/>
      </c>
      <c r="D12">
        <f>C12*(1+核心假设!$B$12)</f>
        <v/>
      </c>
      <c r="E12">
        <f>D12*(1+核心假设!$B$12)</f>
        <v/>
      </c>
      <c r="F12">
        <f>E12*(1+核心假设!$B$12)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敏感性分析 - SOM 对关键假设的敏感度</t>
        </is>
      </c>
    </row>
    <row r="3">
      <c r="A3" s="10" t="inlineStr">
        <is>
          <t>行: 增长率 (CAGR) | 列: 市占率</t>
        </is>
      </c>
    </row>
    <row r="5">
      <c r="A5" s="11" t="inlineStr">
        <is>
          <t>CAGR \ 市占率</t>
        </is>
      </c>
      <c r="B5" s="12" t="inlineStr">
        <is>
          <t>1%</t>
        </is>
      </c>
      <c r="C5" s="12" t="inlineStr">
        <is>
          <t>2%</t>
        </is>
      </c>
      <c r="D5" s="12" t="inlineStr">
        <is>
          <t>3%</t>
        </is>
      </c>
      <c r="E5" s="12" t="inlineStr">
        <is>
          <t>5%</t>
        </is>
      </c>
      <c r="F5" s="12" t="inlineStr">
        <is>
          <t>8%</t>
        </is>
      </c>
    </row>
    <row r="6">
      <c r="A6" s="12" t="inlineStr">
        <is>
          <t>5%</t>
        </is>
      </c>
      <c r="B6">
        <f>SAM计算!$B$8*0.01*(1+0.05)^3</f>
        <v/>
      </c>
      <c r="C6">
        <f>SAM计算!$B$8*0.02*(1+0.05)^3</f>
        <v/>
      </c>
      <c r="D6">
        <f>SAM计算!$B$8*0.03*(1+0.05)^3</f>
        <v/>
      </c>
      <c r="E6">
        <f>SAM计算!$B$8*0.05*(1+0.05)^3</f>
        <v/>
      </c>
      <c r="F6">
        <f>SAM计算!$B$8*0.08*(1+0.05)^3</f>
        <v/>
      </c>
    </row>
    <row r="7">
      <c r="A7" s="12" t="inlineStr">
        <is>
          <t>10%</t>
        </is>
      </c>
      <c r="B7">
        <f>SAM计算!$B$8*0.01*(1+0.1)^3</f>
        <v/>
      </c>
      <c r="C7">
        <f>SAM计算!$B$8*0.02*(1+0.1)^3</f>
        <v/>
      </c>
      <c r="D7">
        <f>SAM计算!$B$8*0.03*(1+0.1)^3</f>
        <v/>
      </c>
      <c r="E7">
        <f>SAM计算!$B$8*0.05*(1+0.1)^3</f>
        <v/>
      </c>
      <c r="F7">
        <f>SAM计算!$B$8*0.08*(1+0.1)^3</f>
        <v/>
      </c>
    </row>
    <row r="8">
      <c r="A8" s="12" t="inlineStr">
        <is>
          <t>12%</t>
        </is>
      </c>
      <c r="B8">
        <f>SAM计算!$B$8*0.01*(1+0.12)^3</f>
        <v/>
      </c>
      <c r="C8">
        <f>SAM计算!$B$8*0.02*(1+0.12)^3</f>
        <v/>
      </c>
      <c r="D8">
        <f>SAM计算!$B$8*0.03*(1+0.12)^3</f>
        <v/>
      </c>
      <c r="E8">
        <f>SAM计算!$B$8*0.05*(1+0.12)^3</f>
        <v/>
      </c>
      <c r="F8">
        <f>SAM计算!$B$8*0.08*(1+0.12)^3</f>
        <v/>
      </c>
    </row>
    <row r="9">
      <c r="A9" s="12" t="inlineStr">
        <is>
          <t>15%</t>
        </is>
      </c>
      <c r="B9">
        <f>SAM计算!$B$8*0.01*(1+0.15)^3</f>
        <v/>
      </c>
      <c r="C9">
        <f>SAM计算!$B$8*0.02*(1+0.15)^3</f>
        <v/>
      </c>
      <c r="D9">
        <f>SAM计算!$B$8*0.03*(1+0.15)^3</f>
        <v/>
      </c>
      <c r="E9">
        <f>SAM计算!$B$8*0.05*(1+0.15)^3</f>
        <v/>
      </c>
      <c r="F9">
        <f>SAM计算!$B$8*0.08*(1+0.15)^3</f>
        <v/>
      </c>
    </row>
    <row r="10">
      <c r="A10" s="12" t="inlineStr">
        <is>
          <t>20%</t>
        </is>
      </c>
      <c r="B10">
        <f>SAM计算!$B$8*0.01*(1+0.2)^3</f>
        <v/>
      </c>
      <c r="C10">
        <f>SAM计算!$B$8*0.02*(1+0.2)^3</f>
        <v/>
      </c>
      <c r="D10">
        <f>SAM计算!$B$8*0.03*(1+0.2)^3</f>
        <v/>
      </c>
      <c r="E10">
        <f>SAM计算!$B$8*0.05*(1+0.2)^3</f>
        <v/>
      </c>
      <c r="F10">
        <f>SAM计算!$B$8*0.08*(1+0.2)^3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2026-02-09T12:24:59Z</dcterms:created>
  <dcterms:modified xmlns:dcterms="http://purl.org/dc/terms/" xmlns:xsi="http://www.w3.org/2001/XMLSchema-instance" xsi:type="dcterms:W3CDTF">2026-02-09T12:30:12Z</dcterms:modified>
</cp:coreProperties>
</file>
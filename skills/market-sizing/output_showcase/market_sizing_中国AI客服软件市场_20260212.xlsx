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假设" sheetId="1" state="visible" r:id="rId1"/>
    <sheet xmlns:r="http://schemas.openxmlformats.org/officeDocument/2006/relationships" name="Fermi_Calc" sheetId="2" state="visible" r:id="rId2"/>
    <sheet xmlns:r="http://schemas.openxmlformats.org/officeDocument/2006/relationships" name="Market_Size_Output" sheetId="3" state="visible" r:id="rId3"/>
    <sheet xmlns:r="http://schemas.openxmlformats.org/officeDocument/2006/relationships" name="Growth_Forecast" sheetId="4" state="visible" r:id="rId4"/>
    <sheet xmlns:r="http://schemas.openxmlformats.org/officeDocument/2006/relationships" name="Monte_Carlo" sheetId="5" state="visible" r:id="rId5"/>
    <sheet xmlns:r="http://schemas.openxmlformats.org/officeDocument/2006/relationships" name="竞争格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+#,##0.0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b val="1"/>
      <color rgb="00FFFFFF"/>
      <sz val="11"/>
    </font>
    <font>
      <color rgb="000000FF"/>
    </font>
    <font>
      <b val="1"/>
      <sz val="11"/>
    </font>
    <font>
      <color rgb="00008000"/>
    </font>
    <font>
      <b val="1"/>
      <color rgb="001F4E79"/>
      <sz val="12"/>
    </font>
    <font>
      <b val="1"/>
      <sz val="12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5" fillId="0" borderId="0" pivotButton="0" quotePrefix="0" xfId="0"/>
    <xf numFmtId="0" fontId="6" fillId="0" borderId="1" pivotButton="0" quotePrefix="0" xfId="0"/>
    <xf numFmtId="4" fontId="6" fillId="0" borderId="1" pivotButton="0" quotePrefix="0" xfId="0"/>
    <xf numFmtId="0" fontId="7" fillId="0" borderId="1" pivotButton="0" quotePrefix="0" xfId="0"/>
    <xf numFmtId="4" fontId="8" fillId="4" borderId="1" pivotButton="0" quotePrefix="0" xfId="0"/>
    <xf numFmtId="165" fontId="6" fillId="4" borderId="1" pivotButton="0" quotePrefix="0" xfId="0"/>
    <xf numFmtId="165" fontId="6" fillId="0" borderId="1" pivotButton="0" quotePrefix="0" xfId="0"/>
    <xf numFmtId="165" fontId="9" fillId="0" borderId="1" pivotButton="0" quotePrefix="0" xfId="0"/>
    <xf numFmtId="0" fontId="8" fillId="0" borderId="0" pivotButton="0" quotePrefix="0" xfId="0"/>
    <xf numFmtId="0" fontId="4" fillId="0" borderId="1" pivotButton="0" quotePrefix="0" xfId="0"/>
    <xf numFmtId="4" fontId="0" fillId="0" borderId="1" pivotButton="0" quotePrefix="0" xfId="0"/>
    <xf numFmtId="4" fontId="7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35" customWidth="1" min="4" max="4"/>
    <col width="8" customWidth="1" min="5" max="5"/>
  </cols>
  <sheetData>
    <row r="1">
      <c r="A1" s="1" t="inlineStr">
        <is>
          <t>中国AI客服软件市场 — 市场规模模型</t>
        </is>
      </c>
    </row>
    <row r="2">
      <c r="A2" s="2" t="inlineStr">
        <is>
          <t>修改 B 列蓝色数值，后续 Sheet 结果自动更新。蓝字=输入 | 黑字=公式 | 绿字=跨表引用</t>
        </is>
      </c>
    </row>
    <row r="4">
      <c r="A4" s="3" t="inlineStr">
        <is>
          <t>假设项 (Key)</t>
        </is>
      </c>
      <c r="B4" s="3" t="inlineStr">
        <is>
          <t>数值 (Input)</t>
        </is>
      </c>
      <c r="C4" s="3" t="inlineStr">
        <is>
          <t>单位/说明</t>
        </is>
      </c>
      <c r="D4" s="3" t="inlineStr">
        <is>
          <t>来源 (Source)</t>
        </is>
      </c>
      <c r="E4" s="3" t="inlineStr">
        <is>
          <t>类型</t>
        </is>
      </c>
    </row>
    <row r="5">
      <c r="A5" s="4" t="inlineStr">
        <is>
          <t>KA机构数量</t>
        </is>
      </c>
      <c r="B5" s="5" t="n">
        <v>5000</v>
      </c>
      <c r="C5" s="4" t="inlineStr">
        <is>
          <t>5000家</t>
        </is>
      </c>
      <c r="D5" s="4" t="inlineStr">
        <is>
          <t>⚠️ 假设: 参考财富500强+央企名录估算</t>
        </is>
      </c>
      <c r="E5" s="4" t="inlineStr">
        <is>
          <t>⚠️</t>
        </is>
      </c>
    </row>
    <row r="6">
      <c r="A6" s="4" t="inlineStr">
        <is>
          <t>KA渗透率</t>
        </is>
      </c>
      <c r="B6" s="6" t="n">
        <v>0.85</v>
      </c>
      <c r="C6" s="4" t="inlineStr">
        <is>
          <t>85%</t>
        </is>
      </c>
      <c r="D6" s="4" t="inlineStr">
        <is>
          <t>⚠️ 假设: 头部企业IT预算充足,采纳率高</t>
        </is>
      </c>
      <c r="E6" s="4" t="inlineStr">
        <is>
          <t>⚠️</t>
        </is>
      </c>
    </row>
    <row r="7">
      <c r="A7" s="4" t="inlineStr">
        <is>
          <t>KA年均客单价</t>
        </is>
      </c>
      <c r="B7" s="7" t="n">
        <v>150</v>
      </c>
      <c r="C7" s="4" t="inlineStr">
        <is>
          <t>150万元/年</t>
        </is>
      </c>
      <c r="D7" s="4" t="inlineStr">
        <is>
          <t>⚠️ 假设: 纯软件授权/订阅(不含实施)</t>
        </is>
      </c>
      <c r="E7" s="4" t="inlineStr">
        <is>
          <t>⚠️</t>
        </is>
      </c>
    </row>
    <row r="8">
      <c r="A8" s="4" t="inlineStr">
        <is>
          <t>腰部机构数量</t>
        </is>
      </c>
      <c r="B8" s="5" t="n">
        <v>300000</v>
      </c>
      <c r="C8" s="4" t="inlineStr">
        <is>
          <t>30万家</t>
        </is>
      </c>
      <c r="D8" s="4" t="inlineStr">
        <is>
          <t>⚠️ 假设: 参考规模以上服务业企业数</t>
        </is>
      </c>
      <c r="E8" s="4" t="inlineStr">
        <is>
          <t>⚠️</t>
        </is>
      </c>
    </row>
    <row r="9">
      <c r="A9" s="4" t="inlineStr">
        <is>
          <t>腰部渗透率</t>
        </is>
      </c>
      <c r="B9" s="6" t="n">
        <v>0.4</v>
      </c>
      <c r="C9" s="4" t="inlineStr">
        <is>
          <t>40%</t>
        </is>
      </c>
      <c r="D9" s="4" t="inlineStr">
        <is>
          <t>⚠️ 假设: 中型企业渗透率30-50%取中值</t>
        </is>
      </c>
      <c r="E9" s="4" t="inlineStr">
        <is>
          <t>⚠️</t>
        </is>
      </c>
    </row>
    <row r="10">
      <c r="A10" s="4" t="inlineStr">
        <is>
          <t>腰部年均客单价</t>
        </is>
      </c>
      <c r="B10" s="7" t="n">
        <v>5</v>
      </c>
      <c r="C10" s="4" t="inlineStr">
        <is>
          <t>5万元/年</t>
        </is>
      </c>
      <c r="D10" s="4" t="inlineStr">
        <is>
          <t>⚠️ 假设: 参考SaaS高级版公开定价</t>
        </is>
      </c>
      <c r="E10" s="4" t="inlineStr">
        <is>
          <t>⚠️</t>
        </is>
      </c>
    </row>
    <row r="11">
      <c r="A11" s="4" t="inlineStr">
        <is>
          <t>小微机构数量</t>
        </is>
      </c>
      <c r="B11" s="5" t="n">
        <v>10000000</v>
      </c>
      <c r="C11" s="4" t="inlineStr">
        <is>
          <t>1000万家</t>
        </is>
      </c>
      <c r="D11" s="4" t="inlineStr">
        <is>
          <t>⚠️ 假设: 参考工商总局小微企业统计</t>
        </is>
      </c>
      <c r="E11" s="4" t="inlineStr">
        <is>
          <t>⚠️</t>
        </is>
      </c>
    </row>
    <row r="12">
      <c r="A12" s="4" t="inlineStr">
        <is>
          <t>小微渗透率</t>
        </is>
      </c>
      <c r="B12" s="6" t="n">
        <v>0.08</v>
      </c>
      <c r="C12" s="4" t="inlineStr">
        <is>
          <t>8%</t>
        </is>
      </c>
      <c r="D12" s="4" t="inlineStr">
        <is>
          <t>⚠️ 假设: 小微企业AI工具渗透率极低</t>
        </is>
      </c>
      <c r="E12" s="4" t="inlineStr">
        <is>
          <t>⚠️</t>
        </is>
      </c>
    </row>
    <row r="13">
      <c r="A13" s="4" t="inlineStr">
        <is>
          <t>小微年均客单价</t>
        </is>
      </c>
      <c r="B13" s="7" t="n">
        <v>0.3</v>
      </c>
      <c r="C13" s="4" t="inlineStr">
        <is>
          <t>0.3万元/年</t>
        </is>
      </c>
      <c r="D13" s="4" t="inlineStr">
        <is>
          <t>⚠️ 假设: 参考SaaS入门版公开定价</t>
        </is>
      </c>
      <c r="E13" s="4" t="inlineStr">
        <is>
          <t>⚠️</t>
        </is>
      </c>
    </row>
    <row r="14">
      <c r="A14" s="4" t="inlineStr">
        <is>
          <t>可服务比例</t>
        </is>
      </c>
      <c r="B14" s="6" t="n">
        <v>0.8</v>
      </c>
      <c r="C14" s="4" t="inlineStr">
        <is>
          <t>80%</t>
        </is>
      </c>
      <c r="D14" s="4" t="inlineStr">
        <is>
          <t>⚠️ 假设: 排除无信息化基础极小微企业</t>
        </is>
      </c>
      <c r="E14" s="4" t="inlineStr">
        <is>
          <t>⚠️</t>
        </is>
      </c>
    </row>
    <row r="15">
      <c r="A15" s="4" t="inlineStr">
        <is>
          <t>目标市占率(3年)</t>
        </is>
      </c>
      <c r="B15" s="6" t="n">
        <v>0.1</v>
      </c>
      <c r="C15" s="4" t="inlineStr">
        <is>
          <t>10%</t>
        </is>
      </c>
      <c r="D15" s="4" t="inlineStr">
        <is>
          <t>⚠️ 假设: 参考行业领先者市占率水平</t>
        </is>
      </c>
      <c r="E15" s="4" t="inlineStr">
        <is>
          <t>⚠️</t>
        </is>
      </c>
    </row>
    <row r="16">
      <c r="A16" s="4" t="inlineStr">
        <is>
          <t>CAGR</t>
        </is>
      </c>
      <c r="B16" s="6" t="n">
        <v>0.226</v>
      </c>
      <c r="C16" s="4" t="inlineStr">
        <is>
          <t>22.6%</t>
        </is>
      </c>
      <c r="D16" s="4" t="inlineStr">
        <is>
          <t>⚠️ 假设: 参考IDC 2023-2028预测区间</t>
        </is>
      </c>
      <c r="E16" s="4" t="inlineStr">
        <is>
          <t>⚠️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  <col width="15" customWidth="1" min="4" max="4"/>
  </cols>
  <sheetData>
    <row r="1">
      <c r="A1" s="1" t="inlineStr">
        <is>
          <t>Bottom-Up Fermi 计算过程</t>
        </is>
      </c>
    </row>
    <row r="2">
      <c r="A2" s="2" t="inlineStr">
        <is>
          <t>绿字=引用核心假设 | 黑字=公式 | 所有中间步骤可追溯</t>
        </is>
      </c>
    </row>
    <row r="3">
      <c r="A3" s="3" t="inlineStr">
        <is>
          <t>步骤</t>
        </is>
      </c>
      <c r="B3" s="3" t="inlineStr">
        <is>
          <t>说明</t>
        </is>
      </c>
      <c r="C3" s="3" t="inlineStr">
        <is>
          <t>数值/公式 (亿元)</t>
        </is>
      </c>
      <c r="D3" s="3" t="inlineStr">
        <is>
          <t>来源类型</t>
        </is>
      </c>
    </row>
    <row r="4">
      <c r="A4" s="8" t="inlineStr">
        <is>
          <t>── KA 段 ──</t>
        </is>
      </c>
    </row>
    <row r="5">
      <c r="A5" s="4" t="inlineStr">
        <is>
          <t>KA: 机构数</t>
        </is>
      </c>
      <c r="B5" s="4" t="inlineStr">
        <is>
          <t>引用假设</t>
        </is>
      </c>
      <c r="C5" s="9">
        <f>'核心假设'!B5</f>
        <v/>
      </c>
      <c r="D5" s="4" t="inlineStr">
        <is>
          <t>🧮 引用</t>
        </is>
      </c>
    </row>
    <row r="6">
      <c r="A6" s="4" t="inlineStr">
        <is>
          <t>KA: 有效机构</t>
        </is>
      </c>
      <c r="B6" s="4" t="inlineStr">
        <is>
          <t>× 渗透率/采用率</t>
        </is>
      </c>
      <c r="C6" s="9">
        <f>C5*'核心假设'!B6</f>
        <v/>
      </c>
      <c r="D6" s="4" t="inlineStr">
        <is>
          <t>🧮 计算</t>
        </is>
      </c>
    </row>
    <row r="7">
      <c r="A7" s="4" t="inlineStr">
        <is>
          <t>KA: 市场规模</t>
        </is>
      </c>
      <c r="B7" s="4" t="inlineStr">
        <is>
          <t>× 客单价</t>
        </is>
      </c>
      <c r="C7" s="10">
        <f>C6*'核心假设'!B7</f>
        <v/>
      </c>
      <c r="D7" s="4" t="inlineStr">
        <is>
          <t>亿元</t>
        </is>
      </c>
    </row>
    <row r="9">
      <c r="A9" s="8" t="inlineStr">
        <is>
          <t>── Mid 段 ──</t>
        </is>
      </c>
    </row>
    <row r="10">
      <c r="A10" s="4" t="inlineStr">
        <is>
          <t>Mid: 机构数</t>
        </is>
      </c>
      <c r="B10" s="4" t="inlineStr">
        <is>
          <t>引用假设</t>
        </is>
      </c>
      <c r="C10" s="9">
        <f>'核心假设'!B8</f>
        <v/>
      </c>
      <c r="D10" s="4" t="inlineStr">
        <is>
          <t>🧮 引用</t>
        </is>
      </c>
    </row>
    <row r="11">
      <c r="A11" s="4" t="inlineStr">
        <is>
          <t>Mid: 有效机构</t>
        </is>
      </c>
      <c r="B11" s="4" t="inlineStr">
        <is>
          <t>× 渗透率/采用率</t>
        </is>
      </c>
      <c r="C11" s="9">
        <f>C10*'核心假设'!B9</f>
        <v/>
      </c>
      <c r="D11" s="4" t="inlineStr">
        <is>
          <t>🧮 计算</t>
        </is>
      </c>
    </row>
    <row r="12">
      <c r="A12" s="4" t="inlineStr">
        <is>
          <t>Mid: 市场规模</t>
        </is>
      </c>
      <c r="B12" s="4" t="inlineStr">
        <is>
          <t>× 客单价</t>
        </is>
      </c>
      <c r="C12" s="10">
        <f>C11*'核心假设'!B10</f>
        <v/>
      </c>
      <c r="D12" s="4" t="inlineStr">
        <is>
          <t>亿元</t>
        </is>
      </c>
    </row>
    <row r="14">
      <c r="A14" s="8" t="inlineStr">
        <is>
          <t>── SMB 段 ──</t>
        </is>
      </c>
    </row>
    <row r="15">
      <c r="A15" s="4" t="inlineStr">
        <is>
          <t>SMB: 机构数</t>
        </is>
      </c>
      <c r="B15" s="4" t="inlineStr">
        <is>
          <t>引用假设</t>
        </is>
      </c>
      <c r="C15" s="9">
        <f>'核心假设'!B11</f>
        <v/>
      </c>
      <c r="D15" s="4" t="inlineStr">
        <is>
          <t>🧮 引用</t>
        </is>
      </c>
    </row>
    <row r="16">
      <c r="A16" s="4" t="inlineStr">
        <is>
          <t>SMB: 有效机构</t>
        </is>
      </c>
      <c r="B16" s="4" t="inlineStr">
        <is>
          <t>× 渗透率/采用率</t>
        </is>
      </c>
      <c r="C16" s="9">
        <f>C15*'核心假设'!B12</f>
        <v/>
      </c>
      <c r="D16" s="4" t="inlineStr">
        <is>
          <t>🧮 计算</t>
        </is>
      </c>
    </row>
    <row r="17">
      <c r="A17" s="4" t="inlineStr">
        <is>
          <t>SMB: 市场规模</t>
        </is>
      </c>
      <c r="B17" s="4" t="inlineStr">
        <is>
          <t>× 客单价</t>
        </is>
      </c>
      <c r="C17" s="10">
        <f>C16*'核心假设'!B13</f>
        <v/>
      </c>
      <c r="D17" s="4" t="inlineStr">
        <is>
          <t>亿元</t>
        </is>
      </c>
    </row>
    <row r="19">
      <c r="A19" s="11" t="inlineStr">
        <is>
          <t>★ TAM (Bottom-Up 汇总)</t>
        </is>
      </c>
      <c r="B19" s="4">
        <f> 各段之和</f>
        <v/>
      </c>
      <c r="C19" s="12">
        <f>C7+C12+C17</f>
        <v/>
      </c>
      <c r="D19" s="4" t="inlineStr">
        <is>
          <t>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30" customWidth="1" min="4" max="4"/>
  </cols>
  <sheetData>
    <row r="1">
      <c r="A1" s="1" t="inlineStr">
        <is>
          <t>TAM / SAM / SOM 结果看板</t>
        </is>
      </c>
    </row>
    <row r="2">
      <c r="A2" s="2" t="inlineStr">
        <is>
          <t>所有数值由公式计算，修改假设表自动更新</t>
        </is>
      </c>
    </row>
    <row r="3">
      <c r="A3" s="3" t="inlineStr">
        <is>
          <t>指标</t>
        </is>
      </c>
      <c r="B3" s="3" t="inlineStr">
        <is>
          <t>数值 (亿元)</t>
        </is>
      </c>
      <c r="C3" s="3" t="inlineStr">
        <is>
          <t>单位</t>
        </is>
      </c>
      <c r="D3" s="3" t="inlineStr">
        <is>
          <t>计算逻辑</t>
        </is>
      </c>
    </row>
    <row r="4">
      <c r="A4" s="4" t="inlineStr">
        <is>
          <t>TAM</t>
        </is>
      </c>
      <c r="B4" s="13">
        <f>Fermi_Calc!C19</f>
        <v/>
      </c>
      <c r="C4" s="4" t="inlineStr">
        <is>
          <t>亿元</t>
        </is>
      </c>
      <c r="D4" s="4" t="inlineStr">
        <is>
          <t>引用 Fermi_Calc!C19</t>
        </is>
      </c>
    </row>
    <row r="5">
      <c r="A5" s="4" t="inlineStr">
        <is>
          <t>SAM</t>
        </is>
      </c>
      <c r="B5" s="13">
        <f>B4*'核心假设'!B14</f>
        <v/>
      </c>
      <c r="C5" s="4" t="inlineStr">
        <is>
          <t>亿元</t>
        </is>
      </c>
      <c r="D5" s="4" t="inlineStr">
        <is>
          <t>TAM x 可服务比例</t>
        </is>
      </c>
    </row>
    <row r="6">
      <c r="A6" s="4" t="inlineStr">
        <is>
          <t>SOM</t>
        </is>
      </c>
      <c r="B6" s="13">
        <f>B5*'核心假设'!B15</f>
        <v/>
      </c>
      <c r="C6" s="4" t="inlineStr">
        <is>
          <t>亿元</t>
        </is>
      </c>
      <c r="D6" s="4" t="inlineStr">
        <is>
          <t>SAM x 目标市占率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5年增长预测</t>
        </is>
      </c>
    </row>
    <row r="2">
      <c r="A2" s="2" t="inlineStr">
        <is>
          <t>基准年引用 Market_Size_Output，后续年份用 CAGR 公式推导</t>
        </is>
      </c>
    </row>
    <row r="3">
      <c r="A3" s="3" t="inlineStr">
        <is>
          <t>年份</t>
        </is>
      </c>
      <c r="B3" s="3" t="inlineStr">
        <is>
          <t>TAM (亿元)</t>
        </is>
      </c>
      <c r="C3" s="3" t="inlineStr">
        <is>
          <t>SAM (亿元)</t>
        </is>
      </c>
      <c r="D3" s="3" t="inlineStr">
        <is>
          <t>计算逻辑</t>
        </is>
      </c>
    </row>
    <row r="4">
      <c r="A4" s="4" t="n">
        <v>2024</v>
      </c>
      <c r="B4" s="14">
        <f>Market_Size_Output!B4</f>
        <v/>
      </c>
      <c r="C4" s="14">
        <f>Market_Size_Output!B5</f>
        <v/>
      </c>
      <c r="D4" s="4" t="inlineStr">
        <is>
          <t>基准年 (引用 Market_Size_Output)</t>
        </is>
      </c>
    </row>
    <row r="5">
      <c r="A5" s="4" t="n">
        <v>2025</v>
      </c>
      <c r="B5" s="15">
        <f>B4*(1+'核心假设'!B16)</f>
        <v/>
      </c>
      <c r="C5" s="15">
        <f>C4*(1+'核心假设'!B16)</f>
        <v/>
      </c>
      <c r="D5" s="4">
        <f>B4*(1+CAGR)</f>
        <v/>
      </c>
    </row>
    <row r="6">
      <c r="A6" s="4" t="n">
        <v>2026</v>
      </c>
      <c r="B6" s="15">
        <f>B5*(1+'核心假设'!B16)</f>
        <v/>
      </c>
      <c r="C6" s="15">
        <f>C5*(1+'核心假设'!B16)</f>
        <v/>
      </c>
      <c r="D6" s="4">
        <f>B5*(1+CAGR)</f>
        <v/>
      </c>
    </row>
    <row r="7">
      <c r="A7" s="4" t="n">
        <v>2027</v>
      </c>
      <c r="B7" s="15">
        <f>B6*(1+'核心假设'!B16)</f>
        <v/>
      </c>
      <c r="C7" s="15">
        <f>C6*(1+'核心假设'!B16)</f>
        <v/>
      </c>
      <c r="D7" s="4">
        <f>B6*(1+CAGR)</f>
        <v/>
      </c>
    </row>
    <row r="8">
      <c r="A8" s="4" t="n">
        <v>2028</v>
      </c>
      <c r="B8" s="15">
        <f>B7*(1+'核心假设'!B16)</f>
        <v/>
      </c>
      <c r="C8" s="15">
        <f>C7*(1+'核心假设'!B16)</f>
        <v/>
      </c>
      <c r="D8" s="4">
        <f>B7*(1+CAGR)</f>
        <v/>
      </c>
    </row>
    <row r="9">
      <c r="A9" s="4" t="n">
        <v>2029</v>
      </c>
      <c r="B9" s="15">
        <f>B8*(1+'核心假设'!B16)</f>
        <v/>
      </c>
      <c r="C9" s="15">
        <f>C8*(1+'核心假设'!B16)</f>
        <v/>
      </c>
      <c r="D9" s="4">
        <f>B8*(1+CAGR)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Monte Carlo 模拟</t>
        </is>
      </c>
    </row>
    <row r="3">
      <c r="A3" s="16" t="inlineStr">
        <is>
          <t>输入假设 (PERT 三角分布)</t>
        </is>
      </c>
    </row>
    <row r="4">
      <c r="A4" s="3" t="inlineStr">
        <is>
          <t>假设变量</t>
        </is>
      </c>
      <c r="B4" s="3" t="inlineStr">
        <is>
          <t>最小值</t>
        </is>
      </c>
      <c r="C4" s="3" t="inlineStr">
        <is>
          <t>最可能值</t>
        </is>
      </c>
      <c r="D4" s="3" t="inlineStr">
        <is>
          <t>最大值</t>
        </is>
      </c>
    </row>
    <row r="5">
      <c r="A5" s="4" t="inlineStr">
        <is>
          <t>KA有效机构数 (ka_vol)</t>
        </is>
      </c>
      <c r="B5" s="17" t="n">
        <v>3500</v>
      </c>
      <c r="C5" s="17" t="n">
        <v>4250</v>
      </c>
      <c r="D5" s="17" t="n">
        <v>4800</v>
      </c>
    </row>
    <row r="6">
      <c r="A6" s="4" t="inlineStr">
        <is>
          <t>KA客单价 (ka_price)</t>
        </is>
      </c>
      <c r="B6" s="17" t="n">
        <v>1000000</v>
      </c>
      <c r="C6" s="17" t="n">
        <v>1500000</v>
      </c>
      <c r="D6" s="17" t="n">
        <v>2000000</v>
      </c>
    </row>
    <row r="7">
      <c r="A7" s="4" t="inlineStr">
        <is>
          <t>Mid有效机构数 (mid_vol)</t>
        </is>
      </c>
      <c r="B7" s="17" t="n">
        <v>80000</v>
      </c>
      <c r="C7" s="17" t="n">
        <v>120000</v>
      </c>
      <c r="D7" s="17" t="n">
        <v>160000</v>
      </c>
    </row>
    <row r="8">
      <c r="A8" s="4" t="inlineStr">
        <is>
          <t>Mid客单价 (mid_price)</t>
        </is>
      </c>
      <c r="B8" s="17" t="n">
        <v>30000</v>
      </c>
      <c r="C8" s="17" t="n">
        <v>50000</v>
      </c>
      <c r="D8" s="17" t="n">
        <v>80000</v>
      </c>
    </row>
    <row r="9">
      <c r="A9" s="4" t="inlineStr">
        <is>
          <t>SMB有效机构数 (smb_vol)</t>
        </is>
      </c>
      <c r="B9" s="17" t="n">
        <v>500000</v>
      </c>
      <c r="C9" s="17" t="n">
        <v>800000</v>
      </c>
      <c r="D9" s="17" t="n">
        <v>1200000</v>
      </c>
    </row>
    <row r="10">
      <c r="A10" s="4" t="inlineStr">
        <is>
          <t>SMB客单价 (smb_price)</t>
        </is>
      </c>
      <c r="B10" s="17" t="n">
        <v>1000</v>
      </c>
      <c r="C10" s="17" t="n">
        <v>3000</v>
      </c>
      <c r="D10" s="17" t="n">
        <v>5000</v>
      </c>
    </row>
    <row r="12">
      <c r="A12" s="16" t="inlineStr">
        <is>
          <t>模拟结果 (n=5,000)</t>
        </is>
      </c>
    </row>
    <row r="13">
      <c r="A13" s="3" t="inlineStr">
        <is>
          <t>分位数</t>
        </is>
      </c>
      <c r="B13" s="3" t="inlineStr">
        <is>
          <t>数值 (亿元)</t>
        </is>
      </c>
      <c r="C13" s="3" t="inlineStr">
        <is>
          <t>含义</t>
        </is>
      </c>
    </row>
    <row r="14">
      <c r="A14" s="4" t="inlineStr">
        <is>
          <t>P5 (悲观)</t>
        </is>
      </c>
      <c r="B14" s="18" t="n">
        <v>121.3978997602801</v>
      </c>
      <c r="C14" s="4" t="inlineStr">
        <is>
          <t>5% 概率低于此值</t>
        </is>
      </c>
    </row>
    <row r="15">
      <c r="A15" s="4" t="inlineStr">
        <is>
          <t>P25</t>
        </is>
      </c>
      <c r="B15" s="18" t="n">
        <v>138.0189061886089</v>
      </c>
      <c r="C15" s="4" t="inlineStr">
        <is>
          <t>下四分位</t>
        </is>
      </c>
    </row>
    <row r="16">
      <c r="A16" s="4" t="inlineStr">
        <is>
          <t>P50 (中位数)</t>
        </is>
      </c>
      <c r="B16" s="19" t="n">
        <v>150.9262926167081</v>
      </c>
      <c r="C16" s="4" t="inlineStr">
        <is>
          <t>最可能结果</t>
        </is>
      </c>
    </row>
    <row r="17">
      <c r="A17" s="4" t="inlineStr">
        <is>
          <t>P75</t>
        </is>
      </c>
      <c r="B17" s="18" t="n">
        <v>164.7290980217572</v>
      </c>
      <c r="C17" s="4" t="inlineStr">
        <is>
          <t>上四分位</t>
        </is>
      </c>
    </row>
    <row r="18">
      <c r="A18" s="4" t="inlineStr">
        <is>
          <t>P95 (乐观)</t>
        </is>
      </c>
      <c r="B18" s="18" t="n">
        <v>184.9760342463582</v>
      </c>
      <c r="C18" s="4" t="inlineStr">
        <is>
          <t>5% 概率高于此值</t>
        </is>
      </c>
    </row>
    <row r="20">
      <c r="A20" s="16" t="inlineStr">
        <is>
          <t>敏感性分析 (Tornado)</t>
        </is>
      </c>
    </row>
    <row r="21">
      <c r="A21" s="3" t="inlineStr">
        <is>
          <t>假设</t>
        </is>
      </c>
      <c r="B21" s="3" t="inlineStr">
        <is>
          <t>影响幅度 (%)</t>
        </is>
      </c>
      <c r="C21" s="3" t="inlineStr">
        <is>
          <t>解读</t>
        </is>
      </c>
    </row>
    <row r="22">
      <c r="A22" s="4" t="inlineStr">
        <is>
          <t>mid_price</t>
        </is>
      </c>
      <c r="B22" s="20" t="n">
        <v>24.36548223350254</v>
      </c>
      <c r="C22" s="4" t="inlineStr">
        <is>
          <t>最关键变量</t>
        </is>
      </c>
    </row>
    <row r="23">
      <c r="A23" s="4" t="inlineStr">
        <is>
          <t>ka_price</t>
        </is>
      </c>
      <c r="B23" s="20" t="n">
        <v>14.3824027072758</v>
      </c>
      <c r="C23" s="4" t="inlineStr">
        <is>
          <t>次关键</t>
        </is>
      </c>
    </row>
    <row r="24">
      <c r="A24" s="4" t="inlineStr">
        <is>
          <t>mid_vol</t>
        </is>
      </c>
      <c r="B24" s="20" t="n">
        <v>13.53637901861252</v>
      </c>
      <c r="C24" s="4" t="inlineStr">
        <is>
          <t>影响有限</t>
        </is>
      </c>
    </row>
    <row r="25">
      <c r="A25" s="4" t="inlineStr">
        <is>
          <t>smb_price</t>
        </is>
      </c>
      <c r="B25" s="20" t="n">
        <v>10.82910321489002</v>
      </c>
      <c r="C25" s="4" t="inlineStr">
        <is>
          <t>影响有限</t>
        </is>
      </c>
    </row>
    <row r="26">
      <c r="A26" s="4" t="inlineStr">
        <is>
          <t>smb_vol</t>
        </is>
      </c>
      <c r="B26" s="20" t="n">
        <v>8.121827411167512</v>
      </c>
      <c r="C26" s="4" t="inlineStr">
        <is>
          <t>影响有限</t>
        </is>
      </c>
    </row>
    <row r="27">
      <c r="A27" s="4" t="inlineStr">
        <is>
          <t>ka_vol</t>
        </is>
      </c>
      <c r="B27" s="20" t="n">
        <v>-7.614213197969544</v>
      </c>
      <c r="C27" s="4" t="inlineStr">
        <is>
          <t>影响有限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22" customWidth="1" min="4" max="4"/>
  </cols>
  <sheetData>
    <row r="1">
      <c r="A1" s="1" t="inlineStr">
        <is>
          <t>竞争格局分析</t>
        </is>
      </c>
    </row>
    <row r="3">
      <c r="A3" s="3" t="inlineStr">
        <is>
          <t>品牌/企业</t>
        </is>
      </c>
      <c r="B3" s="3" t="inlineStr">
        <is>
          <t>市占率</t>
        </is>
      </c>
      <c r="C3" s="3" t="inlineStr">
        <is>
          <t>核心优势</t>
        </is>
      </c>
      <c r="D3" s="3" t="inlineStr">
        <is>
          <t>数据来源</t>
        </is>
      </c>
    </row>
    <row r="4">
      <c r="A4" s="4" t="inlineStr">
        <is>
          <t>阿里云 (通义千问)</t>
        </is>
      </c>
      <c r="B4" s="4" t="inlineStr">
        <is>
          <t>11.4%</t>
        </is>
      </c>
      <c r="C4" s="4" t="inlineStr">
        <is>
          <t>云生态+大模型能力</t>
        </is>
      </c>
      <c r="D4" s="4" t="inlineStr">
        <is>
          <t>📚 IDC</t>
        </is>
      </c>
    </row>
    <row r="5">
      <c r="A5" s="4" t="inlineStr">
        <is>
          <t>网易七鱼</t>
        </is>
      </c>
      <c r="B5" s="4" t="inlineStr">
        <is>
          <t>~10%</t>
        </is>
      </c>
      <c r="C5" s="4" t="inlineStr">
        <is>
          <t>电商/客服场景深耕</t>
        </is>
      </c>
      <c r="D5" s="4" t="inlineStr">
        <is>
          <t>📚 第一新声</t>
        </is>
      </c>
    </row>
    <row r="6">
      <c r="A6" s="4" t="inlineStr">
        <is>
          <t>腾讯企点</t>
        </is>
      </c>
      <c r="B6" s="4" t="inlineStr">
        <is>
          <t>~8%</t>
        </is>
      </c>
      <c r="C6" s="4" t="inlineStr">
        <is>
          <t>微信社交连接能力</t>
        </is>
      </c>
      <c r="D6" s="4" t="inlineStr">
        <is>
          <t>⚠️ 估算</t>
        </is>
      </c>
    </row>
    <row r="7">
      <c r="A7" s="4" t="inlineStr">
        <is>
          <t>智齿科技</t>
        </is>
      </c>
      <c r="B7" s="4" t="inlineStr">
        <is>
          <t>~6%</t>
        </is>
      </c>
      <c r="C7" s="4" t="inlineStr">
        <is>
          <t>全渠道融合</t>
        </is>
      </c>
      <c r="D7" s="4" t="inlineStr">
        <is>
          <t>📚 第一新声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2026-02-12T13:08:47Z</dcterms:created>
  <dcterms:modified xmlns:dcterms="http://purl.org/dc/terms/" xmlns:xsi="http://www.w3.org/2001/XMLSchema-instance" xsi:type="dcterms:W3CDTF">2026-02-12T13:08:47Z</dcterms:modified>
</cp:coreProperties>
</file>